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cenarios" sheetId="2" state="visible" r:id="rId2"/>
    <sheet name="Assumptions_BottomUp" sheetId="3" state="visible" r:id="rId3"/>
    <sheet name="Assumptions_TopDown" sheetId="4" state="visible" r:id="rId4"/>
    <sheet name="Supply_Model" sheetId="5" state="visible" r:id="rId5"/>
    <sheet name="Margins" sheetId="6" state="visible" r:id="rId6"/>
    <sheet name="Opex_Below" sheetId="7" state="visible" r:id="rId7"/>
    <sheet name="Reconciliation" sheetId="8" state="visible" r:id="rId8"/>
    <sheet name="Change_Log_Mirror" sheetId="9" state="visible" r:id="rId9"/>
  </sheets>
  <definedNames>
    <definedName name="nv.scenario_selector">'Scenarios'!$B$3</definedName>
    <definedName name="nv.bu.msft.gb200.units.fy27q1">'Assumptions_BottomUp'!$B$5</definedName>
    <definedName name="nv.bu.msft.gb200.units.fy27q2">'Assumptions_BottomUp'!$C$5</definedName>
    <definedName name="nv.bu.msft.gb200.units.fy27q3">'Assumptions_BottomUp'!$D$5</definedName>
    <definedName name="nv.bu.msft.gb200.units.fy27q4">'Assumptions_BottomUp'!$E$5</definedName>
    <definedName name="nv.bu.msft.gb200.units.fy28q1">'Assumptions_BottomUp'!$F$5</definedName>
    <definedName name="nv.bu.msft.gb200.units.fy28q2">'Assumptions_BottomUp'!$G$5</definedName>
    <definedName name="nv.bu.msft.gb200.units.fy28q3">'Assumptions_BottomUp'!$H$5</definedName>
    <definedName name="nv.bu.msft.gb200.units.fy28q4">'Assumptions_BottomUp'!$I$5</definedName>
    <definedName name="nv.bu.msft.gb200.asp.fy27q1">'Assumptions_BottomUp'!$B$6</definedName>
    <definedName name="nv.bu.msft.gb200.asp.fy27q2">'Assumptions_BottomUp'!$C$6</definedName>
    <definedName name="nv.bu.msft.gb200.asp.fy27q3">'Assumptions_BottomUp'!$D$6</definedName>
    <definedName name="nv.bu.msft.gb200.asp.fy27q4">'Assumptions_BottomUp'!$E$6</definedName>
    <definedName name="nv.bu.msft.gb200.asp.fy28q1">'Assumptions_BottomUp'!$F$6</definedName>
    <definedName name="nv.bu.msft.gb200.asp.fy28q2">'Assumptions_BottomUp'!$G$6</definedName>
    <definedName name="nv.bu.msft.gb200.asp.fy28q3">'Assumptions_BottomUp'!$H$6</definedName>
    <definedName name="nv.bu.msft.gb200.asp.fy28q4">'Assumptions_BottomUp'!$I$6</definedName>
    <definedName name="nv.bu.meta.gb200.units.fy27q1">'Assumptions_BottomUp'!$B$10</definedName>
    <definedName name="nv.bu.meta.gb200.units.fy27q2">'Assumptions_BottomUp'!$C$10</definedName>
    <definedName name="nv.bu.meta.gb200.units.fy27q3">'Assumptions_BottomUp'!$D$10</definedName>
    <definedName name="nv.bu.meta.gb200.units.fy27q4">'Assumptions_BottomUp'!$E$10</definedName>
    <definedName name="nv.bu.meta.gb200.units.fy28q1">'Assumptions_BottomUp'!$F$10</definedName>
    <definedName name="nv.bu.meta.gb200.units.fy28q2">'Assumptions_BottomUp'!$G$10</definedName>
    <definedName name="nv.bu.meta.gb200.units.fy28q3">'Assumptions_BottomUp'!$H$10</definedName>
    <definedName name="nv.bu.meta.gb200.units.fy28q4">'Assumptions_BottomUp'!$I$10</definedName>
    <definedName name="nv.bu.meta.gb200.asp.fy27q1">'Assumptions_BottomUp'!$B$11</definedName>
    <definedName name="nv.bu.meta.gb200.asp.fy27q2">'Assumptions_BottomUp'!$C$11</definedName>
    <definedName name="nv.bu.meta.gb200.asp.fy27q3">'Assumptions_BottomUp'!$D$11</definedName>
    <definedName name="nv.bu.meta.gb200.asp.fy27q4">'Assumptions_BottomUp'!$E$11</definedName>
    <definedName name="nv.bu.meta.gb200.asp.fy28q1">'Assumptions_BottomUp'!$F$11</definedName>
    <definedName name="nv.bu.meta.gb200.asp.fy28q2">'Assumptions_BottomUp'!$G$11</definedName>
    <definedName name="nv.bu.meta.gb200.asp.fy28q3">'Assumptions_BottomUp'!$H$11</definedName>
    <definedName name="nv.bu.meta.gb200.asp.fy28q4">'Assumptions_BottomUp'!$I$11</definedName>
    <definedName name="nv.bu.goog.gb200.units.fy27q1">'Assumptions_BottomUp'!$B$15</definedName>
    <definedName name="nv.bu.goog.gb200.units.fy27q2">'Assumptions_BottomUp'!$C$15</definedName>
    <definedName name="nv.bu.goog.gb200.units.fy27q3">'Assumptions_BottomUp'!$D$15</definedName>
    <definedName name="nv.bu.goog.gb200.units.fy27q4">'Assumptions_BottomUp'!$E$15</definedName>
    <definedName name="nv.bu.goog.gb200.units.fy28q1">'Assumptions_BottomUp'!$F$15</definedName>
    <definedName name="nv.bu.goog.gb200.units.fy28q2">'Assumptions_BottomUp'!$G$15</definedName>
    <definedName name="nv.bu.goog.gb200.units.fy28q3">'Assumptions_BottomUp'!$H$15</definedName>
    <definedName name="nv.bu.goog.gb200.units.fy28q4">'Assumptions_BottomUp'!$I$15</definedName>
    <definedName name="nv.bu.goog.gb200.asp.fy27q1">'Assumptions_BottomUp'!$B$16</definedName>
    <definedName name="nv.bu.goog.gb200.asp.fy27q2">'Assumptions_BottomUp'!$C$16</definedName>
    <definedName name="nv.bu.goog.gb200.asp.fy27q3">'Assumptions_BottomUp'!$D$16</definedName>
    <definedName name="nv.bu.goog.gb200.asp.fy27q4">'Assumptions_BottomUp'!$E$16</definedName>
    <definedName name="nv.bu.goog.gb200.asp.fy28q1">'Assumptions_BottomUp'!$F$16</definedName>
    <definedName name="nv.bu.goog.gb200.asp.fy28q2">'Assumptions_BottomUp'!$G$16</definedName>
    <definedName name="nv.bu.goog.gb200.asp.fy28q3">'Assumptions_BottomUp'!$H$16</definedName>
    <definedName name="nv.bu.goog.gb200.asp.fy28q4">'Assumptions_BottomUp'!$I$16</definedName>
    <definedName name="nv.bu.amzn.gb200.units.fy27q1">'Assumptions_BottomUp'!$B$20</definedName>
    <definedName name="nv.bu.amzn.gb200.units.fy27q2">'Assumptions_BottomUp'!$C$20</definedName>
    <definedName name="nv.bu.amzn.gb200.units.fy27q3">'Assumptions_BottomUp'!$D$20</definedName>
    <definedName name="nv.bu.amzn.gb200.units.fy27q4">'Assumptions_BottomUp'!$E$20</definedName>
    <definedName name="nv.bu.amzn.gb200.units.fy28q1">'Assumptions_BottomUp'!$F$20</definedName>
    <definedName name="nv.bu.amzn.gb200.units.fy28q2">'Assumptions_BottomUp'!$G$20</definedName>
    <definedName name="nv.bu.amzn.gb200.units.fy28q3">'Assumptions_BottomUp'!$H$20</definedName>
    <definedName name="nv.bu.amzn.gb200.units.fy28q4">'Assumptions_BottomUp'!$I$20</definedName>
    <definedName name="nv.bu.amzn.gb200.asp.fy27q1">'Assumptions_BottomUp'!$B$21</definedName>
    <definedName name="nv.bu.amzn.gb200.asp.fy27q2">'Assumptions_BottomUp'!$C$21</definedName>
    <definedName name="nv.bu.amzn.gb200.asp.fy27q3">'Assumptions_BottomUp'!$D$21</definedName>
    <definedName name="nv.bu.amzn.gb200.asp.fy27q4">'Assumptions_BottomUp'!$E$21</definedName>
    <definedName name="nv.bu.amzn.gb200.asp.fy28q1">'Assumptions_BottomUp'!$F$21</definedName>
    <definedName name="nv.bu.amzn.gb200.asp.fy28q2">'Assumptions_BottomUp'!$G$21</definedName>
    <definedName name="nv.bu.amzn.gb200.asp.fy28q3">'Assumptions_BottomUp'!$H$21</definedName>
    <definedName name="nv.bu.amzn.gb200.asp.fy28q4">'Assumptions_BottomUp'!$I$21</definedName>
    <definedName name="nv.bu.orcl.gb200.units.fy27q1">'Assumptions_BottomUp'!$B$25</definedName>
    <definedName name="nv.bu.orcl.gb200.units.fy27q2">'Assumptions_BottomUp'!$C$25</definedName>
    <definedName name="nv.bu.orcl.gb200.units.fy27q3">'Assumptions_BottomUp'!$D$25</definedName>
    <definedName name="nv.bu.orcl.gb200.units.fy27q4">'Assumptions_BottomUp'!$E$25</definedName>
    <definedName name="nv.bu.orcl.gb200.units.fy28q1">'Assumptions_BottomUp'!$F$25</definedName>
    <definedName name="nv.bu.orcl.gb200.units.fy28q2">'Assumptions_BottomUp'!$G$25</definedName>
    <definedName name="nv.bu.orcl.gb200.units.fy28q3">'Assumptions_BottomUp'!$H$25</definedName>
    <definedName name="nv.bu.orcl.gb200.units.fy28q4">'Assumptions_BottomUp'!$I$25</definedName>
    <definedName name="nv.bu.orcl.gb200.asp.fy27q1">'Assumptions_BottomUp'!$B$26</definedName>
    <definedName name="nv.bu.orcl.gb200.asp.fy27q2">'Assumptions_BottomUp'!$C$26</definedName>
    <definedName name="nv.bu.orcl.gb200.asp.fy27q3">'Assumptions_BottomUp'!$D$26</definedName>
    <definedName name="nv.bu.orcl.gb200.asp.fy27q4">'Assumptions_BottomUp'!$E$26</definedName>
    <definedName name="nv.bu.orcl.gb200.asp.fy28q1">'Assumptions_BottomUp'!$F$26</definedName>
    <definedName name="nv.bu.orcl.gb200.asp.fy28q2">'Assumptions_BottomUp'!$G$26</definedName>
    <definedName name="nv.bu.orcl.gb200.asp.fy28q3">'Assumptions_BottomUp'!$H$26</definedName>
    <definedName name="nv.bu.orcl.gb200.asp.fy28q4">'Assumptions_BottomUp'!$I$26</definedName>
    <definedName name="nv.bu.tier2.gb200.units.fy27q1">'Assumptions_BottomUp'!$B$30</definedName>
    <definedName name="nv.bu.tier2.gb200.units.fy27q2">'Assumptions_BottomUp'!$C$30</definedName>
    <definedName name="nv.bu.tier2.gb200.units.fy27q3">'Assumptions_BottomUp'!$D$30</definedName>
    <definedName name="nv.bu.tier2.gb200.units.fy27q4">'Assumptions_BottomUp'!$E$30</definedName>
    <definedName name="nv.bu.tier2.gb200.units.fy28q1">'Assumptions_BottomUp'!$F$30</definedName>
    <definedName name="nv.bu.tier2.gb200.units.fy28q2">'Assumptions_BottomUp'!$G$30</definedName>
    <definedName name="nv.bu.tier2.gb200.units.fy28q3">'Assumptions_BottomUp'!$H$30</definedName>
    <definedName name="nv.bu.tier2.gb200.units.fy28q4">'Assumptions_BottomUp'!$I$30</definedName>
    <definedName name="nv.bu.tier2.gb200.asp.fy27q1">'Assumptions_BottomUp'!$B$31</definedName>
    <definedName name="nv.bu.tier2.gb200.asp.fy27q2">'Assumptions_BottomUp'!$C$31</definedName>
    <definedName name="nv.bu.tier2.gb200.asp.fy27q3">'Assumptions_BottomUp'!$D$31</definedName>
    <definedName name="nv.bu.tier2.gb200.asp.fy27q4">'Assumptions_BottomUp'!$E$31</definedName>
    <definedName name="nv.bu.tier2.gb200.asp.fy28q1">'Assumptions_BottomUp'!$F$31</definedName>
    <definedName name="nv.bu.tier2.gb200.asp.fy28q2">'Assumptions_BottomUp'!$G$31</definedName>
    <definedName name="nv.bu.tier2.gb200.asp.fy28q3">'Assumptions_BottomUp'!$H$31</definedName>
    <definedName name="nv.bu.tier2.gb200.asp.fy28q4">'Assumptions_BottomUp'!$I$31</definedName>
    <definedName name="nv.bu.sovereign.gb200.units.fy27q1">'Assumptions_BottomUp'!$B$35</definedName>
    <definedName name="nv.bu.sovereign.gb200.units.fy27q2">'Assumptions_BottomUp'!$C$35</definedName>
    <definedName name="nv.bu.sovereign.gb200.units.fy27q3">'Assumptions_BottomUp'!$D$35</definedName>
    <definedName name="nv.bu.sovereign.gb200.units.fy27q4">'Assumptions_BottomUp'!$E$35</definedName>
    <definedName name="nv.bu.sovereign.gb200.units.fy28q1">'Assumptions_BottomUp'!$F$35</definedName>
    <definedName name="nv.bu.sovereign.gb200.units.fy28q2">'Assumptions_BottomUp'!$G$35</definedName>
    <definedName name="nv.bu.sovereign.gb200.units.fy28q3">'Assumptions_BottomUp'!$H$35</definedName>
    <definedName name="nv.bu.sovereign.gb200.units.fy28q4">'Assumptions_BottomUp'!$I$35</definedName>
    <definedName name="nv.bu.sovereign.gb200.asp.fy27q1">'Assumptions_BottomUp'!$B$36</definedName>
    <definedName name="nv.bu.sovereign.gb200.asp.fy27q2">'Assumptions_BottomUp'!$C$36</definedName>
    <definedName name="nv.bu.sovereign.gb200.asp.fy27q3">'Assumptions_BottomUp'!$D$36</definedName>
    <definedName name="nv.bu.sovereign.gb200.asp.fy27q4">'Assumptions_BottomUp'!$E$36</definedName>
    <definedName name="nv.bu.sovereign.gb200.asp.fy28q1">'Assumptions_BottomUp'!$F$36</definedName>
    <definedName name="nv.bu.sovereign.gb200.asp.fy28q2">'Assumptions_BottomUp'!$G$36</definedName>
    <definedName name="nv.bu.sovereign.gb200.asp.fy28q3">'Assumptions_BottomUp'!$H$36</definedName>
    <definedName name="nv.bu.sovereign.gb200.asp.fy28q4">'Assumptions_BottomUp'!$I$36</definedName>
    <definedName name="nv.bu.enterprise.gb200.units.fy27q1">'Assumptions_BottomUp'!$B$40</definedName>
    <definedName name="nv.bu.enterprise.gb200.units.fy27q2">'Assumptions_BottomUp'!$C$40</definedName>
    <definedName name="nv.bu.enterprise.gb200.units.fy27q3">'Assumptions_BottomUp'!$D$40</definedName>
    <definedName name="nv.bu.enterprise.gb200.units.fy27q4">'Assumptions_BottomUp'!$E$40</definedName>
    <definedName name="nv.bu.enterprise.gb200.units.fy28q1">'Assumptions_BottomUp'!$F$40</definedName>
    <definedName name="nv.bu.enterprise.gb200.units.fy28q2">'Assumptions_BottomUp'!$G$40</definedName>
    <definedName name="nv.bu.enterprise.gb200.units.fy28q3">'Assumptions_BottomUp'!$H$40</definedName>
    <definedName name="nv.bu.enterprise.gb200.units.fy28q4">'Assumptions_BottomUp'!$I$40</definedName>
    <definedName name="nv.bu.enterprise.gb200.asp.fy27q1">'Assumptions_BottomUp'!$B$41</definedName>
    <definedName name="nv.bu.enterprise.gb200.asp.fy27q2">'Assumptions_BottomUp'!$C$41</definedName>
    <definedName name="nv.bu.enterprise.gb200.asp.fy27q3">'Assumptions_BottomUp'!$D$41</definedName>
    <definedName name="nv.bu.enterprise.gb200.asp.fy27q4">'Assumptions_BottomUp'!$E$41</definedName>
    <definedName name="nv.bu.enterprise.gb200.asp.fy28q1">'Assumptions_BottomUp'!$F$41</definedName>
    <definedName name="nv.bu.enterprise.gb200.asp.fy28q2">'Assumptions_BottomUp'!$G$41</definedName>
    <definedName name="nv.bu.enterprise.gb200.asp.fy28q3">'Assumptions_BottomUp'!$H$41</definedName>
    <definedName name="nv.bu.enterprise.gb200.asp.fy28q4">'Assumptions_BottomUp'!$I$41</definedName>
    <definedName name="nv.bu.total_rev.fy27q1">'Assumptions_BottomUp'!$B$46</definedName>
    <definedName name="nv.bu.total_rev.fy27q2">'Assumptions_BottomUp'!$C$46</definedName>
    <definedName name="nv.bu.total_rev.fy27q3">'Assumptions_BottomUp'!$D$46</definedName>
    <definedName name="nv.bu.total_rev.fy27q4">'Assumptions_BottomUp'!$E$46</definedName>
    <definedName name="nv.bu.total_rev.fy28q1">'Assumptions_BottomUp'!$F$46</definedName>
    <definedName name="nv.bu.total_rev.fy28q2">'Assumptions_BottomUp'!$G$46</definedName>
    <definedName name="nv.bu.total_rev.fy28q3">'Assumptions_BottomUp'!$H$46</definedName>
    <definedName name="nv.bu.total_rev.fy28q4">'Assumptions_BottomUp'!$I$46</definedName>
    <definedName name="nv.td.accelerator_tam.fy27">'Assumptions_TopDown'!$B$4</definedName>
    <definedName name="nv.td.accelerator_tam.fy28">'Assumptions_TopDown'!$C$4</definedName>
    <definedName name="nv.td.accelerator_tam.fy29">'Assumptions_TopDown'!$D$4</definedName>
    <definedName name="nv.td.nvda_share.fy27">'Assumptions_TopDown'!$B$5</definedName>
    <definedName name="nv.td.nvda_share.fy28">'Assumptions_TopDown'!$C$5</definedName>
    <definedName name="nv.td.nvda_share.fy29">'Assumptions_TopDown'!$D$5</definedName>
    <definedName name="nv.td.implied_rev.fy27">'Assumptions_TopDown'!$B$6</definedName>
    <definedName name="nv.td.implied_rev.fy28">'Assumptions_TopDown'!$C$6</definedName>
    <definedName name="nv.td.implied_rev.fy29">'Assumptions_TopDown'!$D$6</definedName>
    <definedName name="nv.supply.cowos_wafers.fy27">'Supply_Model'!$B$4</definedName>
    <definedName name="nv.supply.cowos_wafers.fy28">'Supply_Model'!$C$4</definedName>
    <definedName name="nv.supply.cowos_wafers.fy29">'Supply_Model'!$D$4</definedName>
    <definedName name="nv.supply.hbm_allocation_gb.fy27">'Supply_Model'!$B$5</definedName>
    <definedName name="nv.supply.hbm_allocation_gb.fy28">'Supply_Model'!$C$5</definedName>
    <definedName name="nv.supply.hbm_allocation_gb.fy29">'Supply_Model'!$D$5</definedName>
    <definedName name="nv.supply.packaging_yield_pct.fy27">'Supply_Model'!$B$6</definedName>
    <definedName name="nv.supply.packaging_yield_pct.fy28">'Supply_Model'!$C$6</definedName>
    <definedName name="nv.supply.packaging_yield_pct.fy29">'Supply_Model'!$D$6</definedName>
    <definedName name="nv.margin.hbm_cost_per_gb.fy27q1">'Margins'!$B$4</definedName>
    <definedName name="nv.margin.hbm_cost_per_gb.fy27q2">'Margins'!$C$4</definedName>
    <definedName name="nv.margin.hbm_cost_per_gb.fy27q3">'Margins'!$D$4</definedName>
    <definedName name="nv.margin.hbm_cost_per_gb.fy27q4">'Margins'!$E$4</definedName>
    <definedName name="nv.margin.hbm_cost_per_gb.fy28q1">'Margins'!$F$4</definedName>
    <definedName name="nv.margin.hbm_cost_per_gb.fy28q2">'Margins'!$G$4</definedName>
    <definedName name="nv.margin.hbm_cost_per_gb.fy28q3">'Margins'!$H$4</definedName>
    <definedName name="nv.margin.hbm_cost_per_gb.fy28q4">'Margins'!$I$4</definedName>
    <definedName name="nv.margin.yield_uplift_pct.fy27q1">'Margins'!$B$5</definedName>
    <definedName name="nv.margin.yield_uplift_pct.fy27q2">'Margins'!$C$5</definedName>
    <definedName name="nv.margin.yield_uplift_pct.fy27q3">'Margins'!$D$5</definedName>
    <definedName name="nv.margin.yield_uplift_pct.fy27q4">'Margins'!$E$5</definedName>
    <definedName name="nv.margin.yield_uplift_pct.fy28q1">'Margins'!$F$5</definedName>
    <definedName name="nv.margin.yield_uplift_pct.fy28q2">'Margins'!$G$5</definedName>
    <definedName name="nv.margin.yield_uplift_pct.fy28q3">'Margins'!$H$5</definedName>
    <definedName name="nv.margin.yield_uplift_pct.fy28q4">'Margins'!$I$5</definedName>
    <definedName name="nv.opex.rd_growth_yoy_pct.fy27">'Opex_Below'!$B$4</definedName>
    <definedName name="nv.opex.rd_growth_yoy_pct.fy28">'Opex_Below'!$C$4</definedName>
    <definedName name="nv.opex.rd_growth_yoy_pct.fy29">'Opex_Below'!$D$4</definedName>
    <definedName name="nv.opex.sga_growth_yoy_pct.fy27">'Opex_Below'!$B$5</definedName>
    <definedName name="nv.opex.sga_growth_yoy_pct.fy28">'Opex_Below'!$C$5</definedName>
    <definedName name="nv.opex.sga_growth_yoy_pct.fy29">'Opex_Below'!$D$5</definedName>
    <definedName name="nv.opex.tax_rate_pct.fy27">'Opex_Below'!$B$6</definedName>
    <definedName name="nv.opex.tax_rate_pct.fy28">'Opex_Below'!$C$6</definedName>
    <definedName name="nv.opex.tax_rate_pct.fy29">'Opex_Below'!$D$6</definedName>
    <definedName name="nv.opex.buyback_usd.fy27">'Opex_Below'!$B$7</definedName>
    <definedName name="nv.opex.buyback_usd.fy28">'Opex_Below'!$C$7</definedName>
    <definedName name="nv.opex.buyback_usd.fy29">'Opex_Below'!$D$7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11827"/>
      <sz val="10"/>
    </font>
    <font>
      <name val="Calibri"/>
      <b val="1"/>
      <sz val="14"/>
    </font>
    <font>
      <name val="Calibri"/>
      <color rgb="00111827"/>
      <sz val="10"/>
    </font>
    <font>
      <name val="Calibri"/>
      <i val="1"/>
      <color rgb="006B7280"/>
      <sz val="9"/>
    </font>
    <font>
      <name val="Calibri"/>
      <b val="1"/>
      <color rgb="00FFFFFF"/>
      <sz val="11"/>
    </font>
    <font>
      <name val="Calibri"/>
      <b val="1"/>
      <sz val="12"/>
    </font>
    <font>
      <name val="Calibri"/>
      <b val="1"/>
      <sz val="16"/>
    </font>
  </fonts>
  <fills count="5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1F293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7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5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/>
    </xf>
    <xf numFmtId="49" fontId="3" fillId="2" borderId="1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4" fontId="3" fillId="2" borderId="1" applyAlignment="1" pivotButton="0" quotePrefix="0" xfId="0">
      <alignment horizontal="right"/>
    </xf>
    <xf numFmtId="164" fontId="3" fillId="2" borderId="1" applyAlignment="1" pivotButton="0" quotePrefix="0" xfId="0">
      <alignment horizontal="right"/>
    </xf>
    <xf numFmtId="3" fontId="3" fillId="2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NVDA forecast dashboard</t>
        </is>
      </c>
    </row>
    <row r="2">
      <c r="A2" s="2" t="inlineStr">
        <is>
          <t>Active scenario:</t>
        </is>
      </c>
      <c r="B2" s="3">
        <f>nv.scenario_selector</f>
        <v/>
      </c>
    </row>
    <row r="4">
      <c r="A4" s="2" t="inlineStr">
        <is>
          <t>Annual revenue ($m) — bottom-up</t>
        </is>
      </c>
    </row>
    <row r="5">
      <c r="A5" s="4" t="inlineStr">
        <is>
          <t>FY</t>
        </is>
      </c>
      <c r="B5" s="4" t="inlineStr">
        <is>
          <t>Bottom-up rev ($m)</t>
        </is>
      </c>
      <c r="C5" s="4" t="inlineStr">
        <is>
          <t>Top-down implied ($m)</t>
        </is>
      </c>
      <c r="D5" s="4" t="inlineStr">
        <is>
          <t>Reconciliation gap</t>
        </is>
      </c>
    </row>
    <row r="6">
      <c r="A6" s="2" t="inlineStr">
        <is>
          <t>fy27</t>
        </is>
      </c>
      <c r="B6" s="5">
        <f>IFERROR(nv.bu.total_rev.fy27q1+nv.bu.total_rev.fy27q2+nv.bu.total_rev.fy27q3+nv.bu.total_rev.fy27q4, 0)</f>
        <v/>
      </c>
      <c r="C6" s="5">
        <f>IFERROR(nv.td.implied_rev.fy27, 0)</f>
        <v/>
      </c>
      <c r="D6" s="5">
        <f>B6-C6</f>
        <v/>
      </c>
    </row>
    <row r="7">
      <c r="A7" s="2" t="inlineStr">
        <is>
          <t>fy28</t>
        </is>
      </c>
      <c r="B7" s="5">
        <f>IFERROR(nv.bu.total_rev.fy28q1+nv.bu.total_rev.fy28q2+nv.bu.total_rev.fy28q3+nv.bu.total_rev.fy28q4, 0)</f>
        <v/>
      </c>
      <c r="C7" s="5">
        <f>IFERROR(nv.td.implied_rev.fy28, 0)</f>
        <v/>
      </c>
      <c r="D7" s="5">
        <f>B7-C7</f>
        <v/>
      </c>
    </row>
    <row r="8">
      <c r="A8" s="2" t="inlineStr">
        <is>
          <t>fy29</t>
        </is>
      </c>
      <c r="B8" s="5" t="n">
        <v>0</v>
      </c>
      <c r="C8" s="5">
        <f>IFERROR(nv.td.implied_rev.fy29, 0)</f>
        <v/>
      </c>
      <c r="D8" s="5">
        <f>B8-C8</f>
        <v/>
      </c>
    </row>
    <row r="11">
      <c r="A11" s="6" t="inlineStr">
        <is>
          <t>Note: populate input cells on Assumptions_BottomUp, Assumptions_TopDown, Supply_Model, Margins, and Opex_Below — or run scripts/write_projection_inputs.py to push from data/assumptions/base.yaml.</t>
        </is>
      </c>
    </row>
    <row r="12"/>
    <row r="13"/>
  </sheetData>
  <mergeCells count="1">
    <mergeCell ref="A11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7" t="inlineStr">
        <is>
          <t>Scenario toggle</t>
        </is>
      </c>
    </row>
    <row r="3">
      <c r="A3" s="2" t="inlineStr">
        <is>
          <t>Active scenario (type: Base / Bear / Bull)</t>
        </is>
      </c>
      <c r="B3" s="8" t="inlineStr">
        <is>
          <t>Base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Bottom-up demand (units × ASP by customer × SKU × quarter)</t>
        </is>
      </c>
    </row>
    <row r="2">
      <c r="A2" s="9" t="inlineStr">
        <is>
          <t>Yellow = input. Revenue columns below are formula = units × ASP.</t>
        </is>
      </c>
    </row>
    <row r="4">
      <c r="A4" s="4" t="inlineStr">
        <is>
          <t>MSFT × GB200</t>
        </is>
      </c>
      <c r="B4" s="4" t="inlineStr">
        <is>
          <t>fy27q1</t>
        </is>
      </c>
      <c r="C4" s="4" t="inlineStr">
        <is>
          <t>fy27q2</t>
        </is>
      </c>
      <c r="D4" s="4" t="inlineStr">
        <is>
          <t>fy27q3</t>
        </is>
      </c>
      <c r="E4" s="4" t="inlineStr">
        <is>
          <t>fy27q4</t>
        </is>
      </c>
      <c r="F4" s="4" t="inlineStr">
        <is>
          <t>fy28q1</t>
        </is>
      </c>
      <c r="G4" s="4" t="inlineStr">
        <is>
          <t>fy28q2</t>
        </is>
      </c>
      <c r="H4" s="4" t="inlineStr">
        <is>
          <t>fy28q3</t>
        </is>
      </c>
      <c r="I4" s="4" t="inlineStr">
        <is>
          <t>fy28q4</t>
        </is>
      </c>
    </row>
    <row r="5">
      <c r="A5" s="2" t="inlineStr">
        <is>
          <t>Units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</row>
    <row r="6">
      <c r="A6" s="2" t="inlineStr">
        <is>
          <t>ASP ($)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</row>
    <row r="7">
      <c r="A7" s="2" t="inlineStr">
        <is>
          <t>Revenue ($m)</t>
        </is>
      </c>
      <c r="B7" s="5">
        <f>IFERROR(B5*B6/1000000, 0)</f>
        <v/>
      </c>
      <c r="C7" s="5">
        <f>IFERROR(C5*C6/1000000, 0)</f>
        <v/>
      </c>
      <c r="D7" s="5">
        <f>IFERROR(D5*D6/1000000, 0)</f>
        <v/>
      </c>
      <c r="E7" s="5">
        <f>IFERROR(E5*E6/1000000, 0)</f>
        <v/>
      </c>
      <c r="F7" s="5">
        <f>IFERROR(F5*F6/1000000, 0)</f>
        <v/>
      </c>
      <c r="G7" s="5">
        <f>IFERROR(G5*G6/1000000, 0)</f>
        <v/>
      </c>
      <c r="H7" s="5">
        <f>IFERROR(H5*H6/1000000, 0)</f>
        <v/>
      </c>
      <c r="I7" s="5">
        <f>IFERROR(I5*I6/1000000, 0)</f>
        <v/>
      </c>
    </row>
    <row r="9">
      <c r="A9" s="4" t="inlineStr">
        <is>
          <t>META × GB200</t>
        </is>
      </c>
      <c r="B9" s="4" t="inlineStr">
        <is>
          <t>fy27q1</t>
        </is>
      </c>
      <c r="C9" s="4" t="inlineStr">
        <is>
          <t>fy27q2</t>
        </is>
      </c>
      <c r="D9" s="4" t="inlineStr">
        <is>
          <t>fy27q3</t>
        </is>
      </c>
      <c r="E9" s="4" t="inlineStr">
        <is>
          <t>fy27q4</t>
        </is>
      </c>
      <c r="F9" s="4" t="inlineStr">
        <is>
          <t>fy28q1</t>
        </is>
      </c>
      <c r="G9" s="4" t="inlineStr">
        <is>
          <t>fy28q2</t>
        </is>
      </c>
      <c r="H9" s="4" t="inlineStr">
        <is>
          <t>fy28q3</t>
        </is>
      </c>
      <c r="I9" s="4" t="inlineStr">
        <is>
          <t>fy28q4</t>
        </is>
      </c>
    </row>
    <row r="10">
      <c r="A10" s="2" t="inlineStr">
        <is>
          <t>Units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>
      <c r="A11" s="2" t="inlineStr">
        <is>
          <t>ASP ($)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s="2" t="inlineStr">
        <is>
          <t>Revenue ($m)</t>
        </is>
      </c>
      <c r="B12" s="5">
        <f>IFERROR(B10*B11/1000000, 0)</f>
        <v/>
      </c>
      <c r="C12" s="5">
        <f>IFERROR(C10*C11/1000000, 0)</f>
        <v/>
      </c>
      <c r="D12" s="5">
        <f>IFERROR(D10*D11/1000000, 0)</f>
        <v/>
      </c>
      <c r="E12" s="5">
        <f>IFERROR(E10*E11/1000000, 0)</f>
        <v/>
      </c>
      <c r="F12" s="5">
        <f>IFERROR(F10*F11/1000000, 0)</f>
        <v/>
      </c>
      <c r="G12" s="5">
        <f>IFERROR(G10*G11/1000000, 0)</f>
        <v/>
      </c>
      <c r="H12" s="5">
        <f>IFERROR(H10*H11/1000000, 0)</f>
        <v/>
      </c>
      <c r="I12" s="5">
        <f>IFERROR(I10*I11/1000000, 0)</f>
        <v/>
      </c>
    </row>
    <row r="14">
      <c r="A14" s="4" t="inlineStr">
        <is>
          <t>GOOG × GB200</t>
        </is>
      </c>
      <c r="B14" s="4" t="inlineStr">
        <is>
          <t>fy27q1</t>
        </is>
      </c>
      <c r="C14" s="4" t="inlineStr">
        <is>
          <t>fy27q2</t>
        </is>
      </c>
      <c r="D14" s="4" t="inlineStr">
        <is>
          <t>fy27q3</t>
        </is>
      </c>
      <c r="E14" s="4" t="inlineStr">
        <is>
          <t>fy27q4</t>
        </is>
      </c>
      <c r="F14" s="4" t="inlineStr">
        <is>
          <t>fy28q1</t>
        </is>
      </c>
      <c r="G14" s="4" t="inlineStr">
        <is>
          <t>fy28q2</t>
        </is>
      </c>
      <c r="H14" s="4" t="inlineStr">
        <is>
          <t>fy28q3</t>
        </is>
      </c>
      <c r="I14" s="4" t="inlineStr">
        <is>
          <t>fy28q4</t>
        </is>
      </c>
    </row>
    <row r="15">
      <c r="A15" s="2" t="inlineStr">
        <is>
          <t>Units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s="2" t="inlineStr">
        <is>
          <t>ASP ($)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>
      <c r="A17" s="2" t="inlineStr">
        <is>
          <t>Revenue ($m)</t>
        </is>
      </c>
      <c r="B17" s="5">
        <f>IFERROR(B15*B16/1000000, 0)</f>
        <v/>
      </c>
      <c r="C17" s="5">
        <f>IFERROR(C15*C16/1000000, 0)</f>
        <v/>
      </c>
      <c r="D17" s="5">
        <f>IFERROR(D15*D16/1000000, 0)</f>
        <v/>
      </c>
      <c r="E17" s="5">
        <f>IFERROR(E15*E16/1000000, 0)</f>
        <v/>
      </c>
      <c r="F17" s="5">
        <f>IFERROR(F15*F16/1000000, 0)</f>
        <v/>
      </c>
      <c r="G17" s="5">
        <f>IFERROR(G15*G16/1000000, 0)</f>
        <v/>
      </c>
      <c r="H17" s="5">
        <f>IFERROR(H15*H16/1000000, 0)</f>
        <v/>
      </c>
      <c r="I17" s="5">
        <f>IFERROR(I15*I16/1000000, 0)</f>
        <v/>
      </c>
    </row>
    <row r="19">
      <c r="A19" s="4" t="inlineStr">
        <is>
          <t>AMZN × GB200</t>
        </is>
      </c>
      <c r="B19" s="4" t="inlineStr">
        <is>
          <t>fy27q1</t>
        </is>
      </c>
      <c r="C19" s="4" t="inlineStr">
        <is>
          <t>fy27q2</t>
        </is>
      </c>
      <c r="D19" s="4" t="inlineStr">
        <is>
          <t>fy27q3</t>
        </is>
      </c>
      <c r="E19" s="4" t="inlineStr">
        <is>
          <t>fy27q4</t>
        </is>
      </c>
      <c r="F19" s="4" t="inlineStr">
        <is>
          <t>fy28q1</t>
        </is>
      </c>
      <c r="G19" s="4" t="inlineStr">
        <is>
          <t>fy28q2</t>
        </is>
      </c>
      <c r="H19" s="4" t="inlineStr">
        <is>
          <t>fy28q3</t>
        </is>
      </c>
      <c r="I19" s="4" t="inlineStr">
        <is>
          <t>fy28q4</t>
        </is>
      </c>
    </row>
    <row r="20">
      <c r="A20" s="2" t="inlineStr">
        <is>
          <t>Units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>
      <c r="A21" s="2" t="inlineStr">
        <is>
          <t>ASP ($)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>
      <c r="A22" s="2" t="inlineStr">
        <is>
          <t>Revenue ($m)</t>
        </is>
      </c>
      <c r="B22" s="5">
        <f>IFERROR(B20*B21/1000000, 0)</f>
        <v/>
      </c>
      <c r="C22" s="5">
        <f>IFERROR(C20*C21/1000000, 0)</f>
        <v/>
      </c>
      <c r="D22" s="5">
        <f>IFERROR(D20*D21/1000000, 0)</f>
        <v/>
      </c>
      <c r="E22" s="5">
        <f>IFERROR(E20*E21/1000000, 0)</f>
        <v/>
      </c>
      <c r="F22" s="5">
        <f>IFERROR(F20*F21/1000000, 0)</f>
        <v/>
      </c>
      <c r="G22" s="5">
        <f>IFERROR(G20*G21/1000000, 0)</f>
        <v/>
      </c>
      <c r="H22" s="5">
        <f>IFERROR(H20*H21/1000000, 0)</f>
        <v/>
      </c>
      <c r="I22" s="5">
        <f>IFERROR(I20*I21/1000000, 0)</f>
        <v/>
      </c>
    </row>
    <row r="24">
      <c r="A24" s="4" t="inlineStr">
        <is>
          <t>ORCL × GB200</t>
        </is>
      </c>
      <c r="B24" s="4" t="inlineStr">
        <is>
          <t>fy27q1</t>
        </is>
      </c>
      <c r="C24" s="4" t="inlineStr">
        <is>
          <t>fy27q2</t>
        </is>
      </c>
      <c r="D24" s="4" t="inlineStr">
        <is>
          <t>fy27q3</t>
        </is>
      </c>
      <c r="E24" s="4" t="inlineStr">
        <is>
          <t>fy27q4</t>
        </is>
      </c>
      <c r="F24" s="4" t="inlineStr">
        <is>
          <t>fy28q1</t>
        </is>
      </c>
      <c r="G24" s="4" t="inlineStr">
        <is>
          <t>fy28q2</t>
        </is>
      </c>
      <c r="H24" s="4" t="inlineStr">
        <is>
          <t>fy28q3</t>
        </is>
      </c>
      <c r="I24" s="4" t="inlineStr">
        <is>
          <t>fy28q4</t>
        </is>
      </c>
    </row>
    <row r="25">
      <c r="A25" s="2" t="inlineStr">
        <is>
          <t>Units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>
      <c r="A26" s="2" t="inlineStr">
        <is>
          <t>ASP ($)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2" t="inlineStr">
        <is>
          <t>Revenue ($m)</t>
        </is>
      </c>
      <c r="B27" s="5">
        <f>IFERROR(B25*B26/1000000, 0)</f>
        <v/>
      </c>
      <c r="C27" s="5">
        <f>IFERROR(C25*C26/1000000, 0)</f>
        <v/>
      </c>
      <c r="D27" s="5">
        <f>IFERROR(D25*D26/1000000, 0)</f>
        <v/>
      </c>
      <c r="E27" s="5">
        <f>IFERROR(E25*E26/1000000, 0)</f>
        <v/>
      </c>
      <c r="F27" s="5">
        <f>IFERROR(F25*F26/1000000, 0)</f>
        <v/>
      </c>
      <c r="G27" s="5">
        <f>IFERROR(G25*G26/1000000, 0)</f>
        <v/>
      </c>
      <c r="H27" s="5">
        <f>IFERROR(H25*H26/1000000, 0)</f>
        <v/>
      </c>
      <c r="I27" s="5">
        <f>IFERROR(I25*I26/1000000, 0)</f>
        <v/>
      </c>
    </row>
    <row r="29">
      <c r="A29" s="4" t="inlineStr">
        <is>
          <t>TIER2 × GB200</t>
        </is>
      </c>
      <c r="B29" s="4" t="inlineStr">
        <is>
          <t>fy27q1</t>
        </is>
      </c>
      <c r="C29" s="4" t="inlineStr">
        <is>
          <t>fy27q2</t>
        </is>
      </c>
      <c r="D29" s="4" t="inlineStr">
        <is>
          <t>fy27q3</t>
        </is>
      </c>
      <c r="E29" s="4" t="inlineStr">
        <is>
          <t>fy27q4</t>
        </is>
      </c>
      <c r="F29" s="4" t="inlineStr">
        <is>
          <t>fy28q1</t>
        </is>
      </c>
      <c r="G29" s="4" t="inlineStr">
        <is>
          <t>fy28q2</t>
        </is>
      </c>
      <c r="H29" s="4" t="inlineStr">
        <is>
          <t>fy28q3</t>
        </is>
      </c>
      <c r="I29" s="4" t="inlineStr">
        <is>
          <t>fy28q4</t>
        </is>
      </c>
    </row>
    <row r="30">
      <c r="A30" s="2" t="inlineStr">
        <is>
          <t>Units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</row>
    <row r="31">
      <c r="A31" s="2" t="inlineStr">
        <is>
          <t>ASP ($)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>
      <c r="A32" s="2" t="inlineStr">
        <is>
          <t>Revenue ($m)</t>
        </is>
      </c>
      <c r="B32" s="5">
        <f>IFERROR(B30*B31/1000000, 0)</f>
        <v/>
      </c>
      <c r="C32" s="5">
        <f>IFERROR(C30*C31/1000000, 0)</f>
        <v/>
      </c>
      <c r="D32" s="5">
        <f>IFERROR(D30*D31/1000000, 0)</f>
        <v/>
      </c>
      <c r="E32" s="5">
        <f>IFERROR(E30*E31/1000000, 0)</f>
        <v/>
      </c>
      <c r="F32" s="5">
        <f>IFERROR(F30*F31/1000000, 0)</f>
        <v/>
      </c>
      <c r="G32" s="5">
        <f>IFERROR(G30*G31/1000000, 0)</f>
        <v/>
      </c>
      <c r="H32" s="5">
        <f>IFERROR(H30*H31/1000000, 0)</f>
        <v/>
      </c>
      <c r="I32" s="5">
        <f>IFERROR(I30*I31/1000000, 0)</f>
        <v/>
      </c>
    </row>
    <row r="34">
      <c r="A34" s="4" t="inlineStr">
        <is>
          <t>SOVEREIGN × GB200</t>
        </is>
      </c>
      <c r="B34" s="4" t="inlineStr">
        <is>
          <t>fy27q1</t>
        </is>
      </c>
      <c r="C34" s="4" t="inlineStr">
        <is>
          <t>fy27q2</t>
        </is>
      </c>
      <c r="D34" s="4" t="inlineStr">
        <is>
          <t>fy27q3</t>
        </is>
      </c>
      <c r="E34" s="4" t="inlineStr">
        <is>
          <t>fy27q4</t>
        </is>
      </c>
      <c r="F34" s="4" t="inlineStr">
        <is>
          <t>fy28q1</t>
        </is>
      </c>
      <c r="G34" s="4" t="inlineStr">
        <is>
          <t>fy28q2</t>
        </is>
      </c>
      <c r="H34" s="4" t="inlineStr">
        <is>
          <t>fy28q3</t>
        </is>
      </c>
      <c r="I34" s="4" t="inlineStr">
        <is>
          <t>fy28q4</t>
        </is>
      </c>
    </row>
    <row r="35">
      <c r="A35" s="2" t="inlineStr">
        <is>
          <t>Units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</row>
    <row r="36">
      <c r="A36" s="2" t="inlineStr">
        <is>
          <t>ASP ($)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</row>
    <row r="37">
      <c r="A37" s="2" t="inlineStr">
        <is>
          <t>Revenue ($m)</t>
        </is>
      </c>
      <c r="B37" s="5">
        <f>IFERROR(B35*B36/1000000, 0)</f>
        <v/>
      </c>
      <c r="C37" s="5">
        <f>IFERROR(C35*C36/1000000, 0)</f>
        <v/>
      </c>
      <c r="D37" s="5">
        <f>IFERROR(D35*D36/1000000, 0)</f>
        <v/>
      </c>
      <c r="E37" s="5">
        <f>IFERROR(E35*E36/1000000, 0)</f>
        <v/>
      </c>
      <c r="F37" s="5">
        <f>IFERROR(F35*F36/1000000, 0)</f>
        <v/>
      </c>
      <c r="G37" s="5">
        <f>IFERROR(G35*G36/1000000, 0)</f>
        <v/>
      </c>
      <c r="H37" s="5">
        <f>IFERROR(H35*H36/1000000, 0)</f>
        <v/>
      </c>
      <c r="I37" s="5">
        <f>IFERROR(I35*I36/1000000, 0)</f>
        <v/>
      </c>
    </row>
    <row r="39">
      <c r="A39" s="4" t="inlineStr">
        <is>
          <t>ENTERPRISE × GB200</t>
        </is>
      </c>
      <c r="B39" s="4" t="inlineStr">
        <is>
          <t>fy27q1</t>
        </is>
      </c>
      <c r="C39" s="4" t="inlineStr">
        <is>
          <t>fy27q2</t>
        </is>
      </c>
      <c r="D39" s="4" t="inlineStr">
        <is>
          <t>fy27q3</t>
        </is>
      </c>
      <c r="E39" s="4" t="inlineStr">
        <is>
          <t>fy27q4</t>
        </is>
      </c>
      <c r="F39" s="4" t="inlineStr">
        <is>
          <t>fy28q1</t>
        </is>
      </c>
      <c r="G39" s="4" t="inlineStr">
        <is>
          <t>fy28q2</t>
        </is>
      </c>
      <c r="H39" s="4" t="inlineStr">
        <is>
          <t>fy28q3</t>
        </is>
      </c>
      <c r="I39" s="4" t="inlineStr">
        <is>
          <t>fy28q4</t>
        </is>
      </c>
    </row>
    <row r="40">
      <c r="A40" s="2" t="inlineStr">
        <is>
          <t>Units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</row>
    <row r="41">
      <c r="A41" s="2" t="inlineStr">
        <is>
          <t>ASP ($)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</row>
    <row r="42">
      <c r="A42" s="2" t="inlineStr">
        <is>
          <t>Revenue ($m)</t>
        </is>
      </c>
      <c r="B42" s="5">
        <f>IFERROR(B40*B41/1000000, 0)</f>
        <v/>
      </c>
      <c r="C42" s="5">
        <f>IFERROR(C40*C41/1000000, 0)</f>
        <v/>
      </c>
      <c r="D42" s="5">
        <f>IFERROR(D40*D41/1000000, 0)</f>
        <v/>
      </c>
      <c r="E42" s="5">
        <f>IFERROR(E40*E41/1000000, 0)</f>
        <v/>
      </c>
      <c r="F42" s="5">
        <f>IFERROR(F40*F41/1000000, 0)</f>
        <v/>
      </c>
      <c r="G42" s="5">
        <f>IFERROR(G40*G41/1000000, 0)</f>
        <v/>
      </c>
      <c r="H42" s="5">
        <f>IFERROR(H40*H41/1000000, 0)</f>
        <v/>
      </c>
      <c r="I42" s="5">
        <f>IFERROR(I40*I41/1000000, 0)</f>
        <v/>
      </c>
    </row>
    <row r="44">
      <c r="A44" s="4" t="inlineStr">
        <is>
          <t>TOTAL BU REVENUE ($m)</t>
        </is>
      </c>
      <c r="B44" s="4" t="inlineStr">
        <is>
          <t>fy27q1</t>
        </is>
      </c>
      <c r="C44" s="4" t="inlineStr">
        <is>
          <t>fy27q2</t>
        </is>
      </c>
      <c r="D44" s="4" t="inlineStr">
        <is>
          <t>fy27q3</t>
        </is>
      </c>
      <c r="E44" s="4" t="inlineStr">
        <is>
          <t>fy27q4</t>
        </is>
      </c>
      <c r="F44" s="4" t="inlineStr">
        <is>
          <t>fy28q1</t>
        </is>
      </c>
      <c r="G44" s="4" t="inlineStr">
        <is>
          <t>fy28q2</t>
        </is>
      </c>
      <c r="H44" s="4" t="inlineStr">
        <is>
          <t>fy28q3</t>
        </is>
      </c>
      <c r="I44" s="4" t="inlineStr">
        <is>
          <t>fy28q4</t>
        </is>
      </c>
    </row>
    <row r="45">
      <c r="A45" s="2" t="inlineStr">
        <is>
          <t>Total units (all customers × all SKUs)</t>
        </is>
      </c>
      <c r="B45" s="5">
        <f>nv.bu.msft.gb200.units.fy27q1+nv.bu.meta.gb200.units.fy27q1+nv.bu.goog.gb200.units.fy27q1+nv.bu.amzn.gb200.units.fy27q1+nv.bu.orcl.gb200.units.fy27q1+nv.bu.tier2.gb200.units.fy27q1+nv.bu.sovereign.gb200.units.fy27q1+nv.bu.enterprise.gb200.units.fy27q1</f>
        <v/>
      </c>
      <c r="C45" s="5">
        <f>nv.bu.msft.gb200.units.fy27q2+nv.bu.meta.gb200.units.fy27q2+nv.bu.goog.gb200.units.fy27q2+nv.bu.amzn.gb200.units.fy27q2+nv.bu.orcl.gb200.units.fy27q2+nv.bu.tier2.gb200.units.fy27q2+nv.bu.sovereign.gb200.units.fy27q2+nv.bu.enterprise.gb200.units.fy27q2</f>
        <v/>
      </c>
      <c r="D45" s="5">
        <f>nv.bu.msft.gb200.units.fy27q3+nv.bu.meta.gb200.units.fy27q3+nv.bu.goog.gb200.units.fy27q3+nv.bu.amzn.gb200.units.fy27q3+nv.bu.orcl.gb200.units.fy27q3+nv.bu.tier2.gb200.units.fy27q3+nv.bu.sovereign.gb200.units.fy27q3+nv.bu.enterprise.gb200.units.fy27q3</f>
        <v/>
      </c>
      <c r="E45" s="5">
        <f>nv.bu.msft.gb200.units.fy27q4+nv.bu.meta.gb200.units.fy27q4+nv.bu.goog.gb200.units.fy27q4+nv.bu.amzn.gb200.units.fy27q4+nv.bu.orcl.gb200.units.fy27q4+nv.bu.tier2.gb200.units.fy27q4+nv.bu.sovereign.gb200.units.fy27q4+nv.bu.enterprise.gb200.units.fy27q4</f>
        <v/>
      </c>
      <c r="F45" s="5">
        <f>nv.bu.msft.gb200.units.fy28q1+nv.bu.meta.gb200.units.fy28q1+nv.bu.goog.gb200.units.fy28q1+nv.bu.amzn.gb200.units.fy28q1+nv.bu.orcl.gb200.units.fy28q1+nv.bu.tier2.gb200.units.fy28q1+nv.bu.sovereign.gb200.units.fy28q1+nv.bu.enterprise.gb200.units.fy28q1</f>
        <v/>
      </c>
      <c r="G45" s="5">
        <f>nv.bu.msft.gb200.units.fy28q2+nv.bu.meta.gb200.units.fy28q2+nv.bu.goog.gb200.units.fy28q2+nv.bu.amzn.gb200.units.fy28q2+nv.bu.orcl.gb200.units.fy28q2+nv.bu.tier2.gb200.units.fy28q2+nv.bu.sovereign.gb200.units.fy28q2+nv.bu.enterprise.gb200.units.fy28q2</f>
        <v/>
      </c>
      <c r="H45" s="5">
        <f>nv.bu.msft.gb200.units.fy28q3+nv.bu.meta.gb200.units.fy28q3+nv.bu.goog.gb200.units.fy28q3+nv.bu.amzn.gb200.units.fy28q3+nv.bu.orcl.gb200.units.fy28q3+nv.bu.tier2.gb200.units.fy28q3+nv.bu.sovereign.gb200.units.fy28q3+nv.bu.enterprise.gb200.units.fy28q3</f>
        <v/>
      </c>
      <c r="I45" s="5">
        <f>nv.bu.msft.gb200.units.fy28q4+nv.bu.meta.gb200.units.fy28q4+nv.bu.goog.gb200.units.fy28q4+nv.bu.amzn.gb200.units.fy28q4+nv.bu.orcl.gb200.units.fy28q4+nv.bu.tier2.gb200.units.fy28q4+nv.bu.sovereign.gb200.units.fy28q4+nv.bu.enterprise.gb200.units.fy28q4</f>
        <v/>
      </c>
    </row>
    <row r="46">
      <c r="A46" s="2" t="inlineStr">
        <is>
          <t>Total revenue ($m)</t>
        </is>
      </c>
      <c r="B46" s="5">
        <f>(nv.bu.msft.gb200.units.fy27q1*nv.bu.msft.gb200.asp.fy27q1+nv.bu.meta.gb200.units.fy27q1*nv.bu.meta.gb200.asp.fy27q1+nv.bu.goog.gb200.units.fy27q1*nv.bu.goog.gb200.asp.fy27q1+nv.bu.amzn.gb200.units.fy27q1*nv.bu.amzn.gb200.asp.fy27q1+nv.bu.orcl.gb200.units.fy27q1*nv.bu.orcl.gb200.asp.fy27q1+nv.bu.tier2.gb200.units.fy27q1*nv.bu.tier2.gb200.asp.fy27q1+nv.bu.sovereign.gb200.units.fy27q1*nv.bu.sovereign.gb200.asp.fy27q1+nv.bu.enterprise.gb200.units.fy27q1*nv.bu.enterprise.gb200.asp.fy27q1)/1000000</f>
        <v/>
      </c>
      <c r="C46" s="5">
        <f>(nv.bu.msft.gb200.units.fy27q2*nv.bu.msft.gb200.asp.fy27q2+nv.bu.meta.gb200.units.fy27q2*nv.bu.meta.gb200.asp.fy27q2+nv.bu.goog.gb200.units.fy27q2*nv.bu.goog.gb200.asp.fy27q2+nv.bu.amzn.gb200.units.fy27q2*nv.bu.amzn.gb200.asp.fy27q2+nv.bu.orcl.gb200.units.fy27q2*nv.bu.orcl.gb200.asp.fy27q2+nv.bu.tier2.gb200.units.fy27q2*nv.bu.tier2.gb200.asp.fy27q2+nv.bu.sovereign.gb200.units.fy27q2*nv.bu.sovereign.gb200.asp.fy27q2+nv.bu.enterprise.gb200.units.fy27q2*nv.bu.enterprise.gb200.asp.fy27q2)/1000000</f>
        <v/>
      </c>
      <c r="D46" s="5">
        <f>(nv.bu.msft.gb200.units.fy27q3*nv.bu.msft.gb200.asp.fy27q3+nv.bu.meta.gb200.units.fy27q3*nv.bu.meta.gb200.asp.fy27q3+nv.bu.goog.gb200.units.fy27q3*nv.bu.goog.gb200.asp.fy27q3+nv.bu.amzn.gb200.units.fy27q3*nv.bu.amzn.gb200.asp.fy27q3+nv.bu.orcl.gb200.units.fy27q3*nv.bu.orcl.gb200.asp.fy27q3+nv.bu.tier2.gb200.units.fy27q3*nv.bu.tier2.gb200.asp.fy27q3+nv.bu.sovereign.gb200.units.fy27q3*nv.bu.sovereign.gb200.asp.fy27q3+nv.bu.enterprise.gb200.units.fy27q3*nv.bu.enterprise.gb200.asp.fy27q3)/1000000</f>
        <v/>
      </c>
      <c r="E46" s="5">
        <f>(nv.bu.msft.gb200.units.fy27q4*nv.bu.msft.gb200.asp.fy27q4+nv.bu.meta.gb200.units.fy27q4*nv.bu.meta.gb200.asp.fy27q4+nv.bu.goog.gb200.units.fy27q4*nv.bu.goog.gb200.asp.fy27q4+nv.bu.amzn.gb200.units.fy27q4*nv.bu.amzn.gb200.asp.fy27q4+nv.bu.orcl.gb200.units.fy27q4*nv.bu.orcl.gb200.asp.fy27q4+nv.bu.tier2.gb200.units.fy27q4*nv.bu.tier2.gb200.asp.fy27q4+nv.bu.sovereign.gb200.units.fy27q4*nv.bu.sovereign.gb200.asp.fy27q4+nv.bu.enterprise.gb200.units.fy27q4*nv.bu.enterprise.gb200.asp.fy27q4)/1000000</f>
        <v/>
      </c>
      <c r="F46" s="5">
        <f>(nv.bu.msft.gb200.units.fy28q1*nv.bu.msft.gb200.asp.fy28q1+nv.bu.meta.gb200.units.fy28q1*nv.bu.meta.gb200.asp.fy28q1+nv.bu.goog.gb200.units.fy28q1*nv.bu.goog.gb200.asp.fy28q1+nv.bu.amzn.gb200.units.fy28q1*nv.bu.amzn.gb200.asp.fy28q1+nv.bu.orcl.gb200.units.fy28q1*nv.bu.orcl.gb200.asp.fy28q1+nv.bu.tier2.gb200.units.fy28q1*nv.bu.tier2.gb200.asp.fy28q1+nv.bu.sovereign.gb200.units.fy28q1*nv.bu.sovereign.gb200.asp.fy28q1+nv.bu.enterprise.gb200.units.fy28q1*nv.bu.enterprise.gb200.asp.fy28q1)/1000000</f>
        <v/>
      </c>
      <c r="G46" s="5">
        <f>(nv.bu.msft.gb200.units.fy28q2*nv.bu.msft.gb200.asp.fy28q2+nv.bu.meta.gb200.units.fy28q2*nv.bu.meta.gb200.asp.fy28q2+nv.bu.goog.gb200.units.fy28q2*nv.bu.goog.gb200.asp.fy28q2+nv.bu.amzn.gb200.units.fy28q2*nv.bu.amzn.gb200.asp.fy28q2+nv.bu.orcl.gb200.units.fy28q2*nv.bu.orcl.gb200.asp.fy28q2+nv.bu.tier2.gb200.units.fy28q2*nv.bu.tier2.gb200.asp.fy28q2+nv.bu.sovereign.gb200.units.fy28q2*nv.bu.sovereign.gb200.asp.fy28q2+nv.bu.enterprise.gb200.units.fy28q2*nv.bu.enterprise.gb200.asp.fy28q2)/1000000</f>
        <v/>
      </c>
      <c r="H46" s="5">
        <f>(nv.bu.msft.gb200.units.fy28q3*nv.bu.msft.gb200.asp.fy28q3+nv.bu.meta.gb200.units.fy28q3*nv.bu.meta.gb200.asp.fy28q3+nv.bu.goog.gb200.units.fy28q3*nv.bu.goog.gb200.asp.fy28q3+nv.bu.amzn.gb200.units.fy28q3*nv.bu.amzn.gb200.asp.fy28q3+nv.bu.orcl.gb200.units.fy28q3*nv.bu.orcl.gb200.asp.fy28q3+nv.bu.tier2.gb200.units.fy28q3*nv.bu.tier2.gb200.asp.fy28q3+nv.bu.sovereign.gb200.units.fy28q3*nv.bu.sovereign.gb200.asp.fy28q3+nv.bu.enterprise.gb200.units.fy28q3*nv.bu.enterprise.gb200.asp.fy28q3)/1000000</f>
        <v/>
      </c>
      <c r="I46" s="5">
        <f>(nv.bu.msft.gb200.units.fy28q4*nv.bu.msft.gb200.asp.fy28q4+nv.bu.meta.gb200.units.fy28q4*nv.bu.meta.gb200.asp.fy28q4+nv.bu.goog.gb200.units.fy28q4*nv.bu.goog.gb200.asp.fy28q4+nv.bu.amzn.gb200.units.fy28q4*nv.bu.amzn.gb200.asp.fy28q4+nv.bu.orcl.gb200.units.fy28q4*nv.bu.orcl.gb200.asp.fy28q4+nv.bu.tier2.gb200.units.fy28q4*nv.bu.tier2.gb200.asp.fy28q4+nv.bu.sovereign.gb200.units.fy28q4*nv.bu.sovereign.gb200.asp.fy28q4+nv.bu.enterprise.gb200.units.fy28q4*nv.bu.enterprise.gb200.asp.fy28q4)/1000000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7" t="inlineStr">
        <is>
          <t>Top-down: accelerator TAM × NVDA share</t>
        </is>
      </c>
    </row>
    <row r="3">
      <c r="A3" s="4" t="inlineStr">
        <is>
          <t>Metric</t>
        </is>
      </c>
      <c r="B3" s="4" t="inlineStr">
        <is>
          <t>fy27</t>
        </is>
      </c>
      <c r="C3" s="4" t="inlineStr">
        <is>
          <t>fy28</t>
        </is>
      </c>
      <c r="D3" s="4" t="inlineStr">
        <is>
          <t>fy29</t>
        </is>
      </c>
    </row>
    <row r="4">
      <c r="A4" s="2" t="inlineStr">
        <is>
          <t>Accelerator TAM ($m)</t>
        </is>
      </c>
      <c r="B4" s="10" t="n"/>
      <c r="C4" s="10" t="n"/>
      <c r="D4" s="10" t="n"/>
    </row>
    <row r="5">
      <c r="A5" s="2" t="inlineStr">
        <is>
          <t>NVDA share (0..1)</t>
        </is>
      </c>
      <c r="B5" s="11" t="n"/>
      <c r="C5" s="11" t="n"/>
      <c r="D5" s="11" t="n"/>
    </row>
    <row r="6">
      <c r="A6" s="2" t="inlineStr">
        <is>
          <t>Implied NVDA revenue ($m)</t>
        </is>
      </c>
      <c r="B6" s="5">
        <f>IFERROR(B4*B5, 0)</f>
        <v/>
      </c>
      <c r="C6" s="5">
        <f>IFERROR(C4*C5, 0)</f>
        <v/>
      </c>
      <c r="D6" s="5">
        <f>IFERROR(D4*D5, 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7" t="inlineStr">
        <is>
          <t>Supply model (annual)</t>
        </is>
      </c>
    </row>
    <row r="3">
      <c r="A3" s="4" t="inlineStr">
        <is>
          <t>Metric</t>
        </is>
      </c>
      <c r="B3" s="4" t="inlineStr">
        <is>
          <t>fy27</t>
        </is>
      </c>
      <c r="C3" s="4" t="inlineStr">
        <is>
          <t>fy28</t>
        </is>
      </c>
      <c r="D3" s="4" t="inlineStr">
        <is>
          <t>fy29</t>
        </is>
      </c>
    </row>
    <row r="4">
      <c r="A4" s="2" t="inlineStr">
        <is>
          <t>CoWoS wafers available</t>
        </is>
      </c>
      <c r="B4" s="12" t="n">
        <v>520000</v>
      </c>
      <c r="C4" s="12" t="n"/>
      <c r="D4" s="12" t="n"/>
    </row>
    <row r="5">
      <c r="A5" s="2" t="inlineStr">
        <is>
          <t>HBM allocation (GB)</t>
        </is>
      </c>
      <c r="B5" s="12" t="n"/>
      <c r="C5" s="12" t="n"/>
      <c r="D5" s="12" t="n"/>
    </row>
    <row r="6">
      <c r="A6" s="2" t="inlineStr">
        <is>
          <t>Packaging yield (0..1)</t>
        </is>
      </c>
      <c r="B6" s="11" t="n"/>
      <c r="C6" s="11" t="n"/>
      <c r="D6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Margin drivers</t>
        </is>
      </c>
    </row>
    <row r="3">
      <c r="A3" s="4" t="inlineStr">
        <is>
          <t>Driver</t>
        </is>
      </c>
      <c r="B3" s="4" t="inlineStr">
        <is>
          <t>fy27q1</t>
        </is>
      </c>
      <c r="C3" s="4" t="inlineStr">
        <is>
          <t>fy27q2</t>
        </is>
      </c>
      <c r="D3" s="4" t="inlineStr">
        <is>
          <t>fy27q3</t>
        </is>
      </c>
      <c r="E3" s="4" t="inlineStr">
        <is>
          <t>fy27q4</t>
        </is>
      </c>
      <c r="F3" s="4" t="inlineStr">
        <is>
          <t>fy28q1</t>
        </is>
      </c>
      <c r="G3" s="4" t="inlineStr">
        <is>
          <t>fy28q2</t>
        </is>
      </c>
      <c r="H3" s="4" t="inlineStr">
        <is>
          <t>fy28q3</t>
        </is>
      </c>
      <c r="I3" s="4" t="inlineStr">
        <is>
          <t>fy28q4</t>
        </is>
      </c>
    </row>
    <row r="4">
      <c r="A4" s="2" t="inlineStr">
        <is>
          <t>HBM cost per GB ($)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2" t="inlineStr">
        <is>
          <t>Yield uplift (%)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7" t="inlineStr">
        <is>
          <t>Opex &amp; below-the-line (annual)</t>
        </is>
      </c>
    </row>
    <row r="3">
      <c r="A3" s="4" t="inlineStr">
        <is>
          <t>Driver</t>
        </is>
      </c>
      <c r="B3" s="4" t="inlineStr">
        <is>
          <t>fy27</t>
        </is>
      </c>
      <c r="C3" s="4" t="inlineStr">
        <is>
          <t>fy28</t>
        </is>
      </c>
      <c r="D3" s="4" t="inlineStr">
        <is>
          <t>fy29</t>
        </is>
      </c>
    </row>
    <row r="4">
      <c r="A4" s="2" t="inlineStr">
        <is>
          <t>R&amp;D YoY growth (0..1)</t>
        </is>
      </c>
      <c r="B4" s="11" t="n"/>
      <c r="C4" s="11" t="n"/>
      <c r="D4" s="11" t="n"/>
    </row>
    <row r="5">
      <c r="A5" s="2" t="inlineStr">
        <is>
          <t>SG&amp;A YoY growth (0..1)</t>
        </is>
      </c>
      <c r="B5" s="11" t="n"/>
      <c r="C5" s="11" t="n"/>
      <c r="D5" s="11" t="n"/>
    </row>
    <row r="6">
      <c r="A6" s="2" t="inlineStr">
        <is>
          <t>Tax rate (0..1)</t>
        </is>
      </c>
      <c r="B6" s="11" t="n"/>
      <c r="C6" s="11" t="n"/>
      <c r="D6" s="11" t="n"/>
    </row>
    <row r="7">
      <c r="A7" s="2" t="inlineStr">
        <is>
          <t>Buybacks ($m)</t>
        </is>
      </c>
      <c r="B7" s="12" t="n"/>
      <c r="C7" s="12" t="n"/>
      <c r="D7" s="1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40" customWidth="1" min="5" max="5"/>
  </cols>
  <sheetData>
    <row r="1">
      <c r="A1" s="13" t="inlineStr">
        <is>
          <t>Model vs Street vs Company guide (placeholder — fill in as consensus is gathered)</t>
        </is>
      </c>
    </row>
    <row r="3">
      <c r="A3" s="4" t="inlineStr">
        <is>
          <t>Period</t>
        </is>
      </c>
      <c r="B3" s="4" t="inlineStr">
        <is>
          <t>Model ($m)</t>
        </is>
      </c>
      <c r="C3" s="4" t="inlineStr">
        <is>
          <t>Street consensus ($m)</t>
        </is>
      </c>
      <c r="D3" s="4" t="inlineStr">
        <is>
          <t>Company guide ($m)</t>
        </is>
      </c>
      <c r="E3" s="4" t="inlineStr">
        <is>
          <t>Notes</t>
        </is>
      </c>
    </row>
    <row r="4">
      <c r="A4" s="2" t="inlineStr">
        <is>
          <t>fy27q1</t>
        </is>
      </c>
      <c r="B4" s="5">
        <f>IFERROR(nv.bu.total_rev.fy27q1, 0)</f>
        <v/>
      </c>
    </row>
    <row r="5">
      <c r="A5" s="2" t="inlineStr">
        <is>
          <t>fy27q2</t>
        </is>
      </c>
      <c r="B5" s="5">
        <f>IFERROR(nv.bu.total_rev.fy27q2, 0)</f>
        <v/>
      </c>
    </row>
    <row r="6">
      <c r="A6" s="2" t="inlineStr">
        <is>
          <t>fy27q3</t>
        </is>
      </c>
      <c r="B6" s="5">
        <f>IFERROR(nv.bu.total_rev.fy27q3, 0)</f>
        <v/>
      </c>
    </row>
    <row r="7">
      <c r="A7" s="2" t="inlineStr">
        <is>
          <t>fy27q4</t>
        </is>
      </c>
      <c r="B7" s="5">
        <f>IFERROR(nv.bu.total_rev.fy27q4, 0)</f>
        <v/>
      </c>
    </row>
    <row r="8">
      <c r="A8" s="2" t="inlineStr">
        <is>
          <t>fy28q1</t>
        </is>
      </c>
      <c r="B8" s="5">
        <f>IFERROR(nv.bu.total_rev.fy28q1, 0)</f>
        <v/>
      </c>
    </row>
    <row r="9">
      <c r="A9" s="2" t="inlineStr">
        <is>
          <t>fy28q2</t>
        </is>
      </c>
      <c r="B9" s="5">
        <f>IFERROR(nv.bu.total_rev.fy28q2, 0)</f>
        <v/>
      </c>
    </row>
    <row r="10">
      <c r="A10" s="2" t="inlineStr">
        <is>
          <t>fy28q3</t>
        </is>
      </c>
      <c r="B10" s="5">
        <f>IFERROR(nv.bu.total_rev.fy28q3, 0)</f>
        <v/>
      </c>
    </row>
    <row r="11">
      <c r="A11" s="2" t="inlineStr">
        <is>
          <t>fy28q4</t>
        </is>
      </c>
      <c r="B11" s="5">
        <f>IFERROR(nv.bu.total_rev.fy28q4, 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3" t="inlineStr">
        <is>
          <t>Change_Log_Mirror — reflects last 20 entries of views/changelog.md</t>
        </is>
      </c>
    </row>
    <row r="2">
      <c r="A2" s="14" t="inlineStr">
        <is>
          <t>This sheet is intended to be refreshed alongside projection updates. For v1, mirror the file manually or extend scripts to sync.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2026-04-18T03:52:59Z</dcterms:created>
  <dcterms:modified xsi:type="dcterms:W3CDTF">2026-04-18T03:55:09Z</dcterms:modified>
</cp:coreProperties>
</file>